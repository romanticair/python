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D893" lockStructure="1"/>
  <bookViews>
    <workbookView xWindow="240" yWindow="480" windowWidth="15576" windowHeight="4992"/>
  </bookViews>
  <sheets>
    <sheet name="8月份" sheetId="8" r:id="rId1"/>
    <sheet name="Config" sheetId="3" state="hidden" r:id="rId2"/>
  </sheets>
  <functionGroups builtInGroupCount="17"/>
  <calcPr calcId="144525"/>
</workbook>
</file>

<file path=xl/calcChain.xml><?xml version="1.0" encoding="utf-8"?>
<calcChain xmlns="http://schemas.openxmlformats.org/spreadsheetml/2006/main">
  <c r="M16" i="8" l="1"/>
  <c r="N16" i="8"/>
  <c r="O16" i="8" l="1"/>
  <c r="L16" i="8"/>
  <c r="K16" i="8"/>
  <c r="I16" i="8"/>
  <c r="H16" i="8"/>
  <c r="G16" i="8"/>
  <c r="F16" i="8"/>
  <c r="E16" i="8"/>
  <c r="D16" i="8"/>
  <c r="P15" i="8"/>
  <c r="J15" i="8"/>
  <c r="P14" i="8"/>
  <c r="J14" i="8"/>
  <c r="P13" i="8"/>
  <c r="J13" i="8"/>
  <c r="P12" i="8"/>
  <c r="J12" i="8"/>
  <c r="P11" i="8"/>
  <c r="J11" i="8"/>
  <c r="P10" i="8"/>
  <c r="J10" i="8"/>
  <c r="P9" i="8"/>
  <c r="J9" i="8"/>
  <c r="P8" i="8"/>
  <c r="J8" i="8"/>
  <c r="P7" i="8"/>
  <c r="J7" i="8"/>
  <c r="P6" i="8"/>
  <c r="J6" i="8"/>
  <c r="J16" i="8" l="1"/>
  <c r="P16" i="8"/>
  <c r="Q7" i="8"/>
  <c r="Q8" i="8"/>
  <c r="Q9" i="8"/>
  <c r="Q10" i="8"/>
  <c r="Q11" i="8"/>
  <c r="Q12" i="8"/>
  <c r="Q13" i="8"/>
  <c r="Q15" i="8"/>
  <c r="Q14" i="8"/>
  <c r="Q6" i="8"/>
  <c r="Q16" i="8" l="1"/>
</calcChain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%%工资表%%全面保护</t>
        </r>
      </text>
    </comment>
  </commentList>
</comments>
</file>

<file path=xl/sharedStrings.xml><?xml version="1.0" encoding="utf-8"?>
<sst xmlns="http://schemas.openxmlformats.org/spreadsheetml/2006/main" count="48" uniqueCount="43">
  <si>
    <t>单位：元</t>
    <phoneticPr fontId="5" type="noConversion"/>
  </si>
  <si>
    <t>序号</t>
    <phoneticPr fontId="5" type="noConversion"/>
  </si>
  <si>
    <t>姓名</t>
    <phoneticPr fontId="5" type="noConversion"/>
  </si>
  <si>
    <t>部门</t>
  </si>
  <si>
    <t>扣款统计</t>
    <phoneticPr fontId="5" type="noConversion"/>
  </si>
  <si>
    <t>实发工资</t>
    <phoneticPr fontId="5" type="noConversion"/>
  </si>
  <si>
    <t>应发小计</t>
    <phoneticPr fontId="5" type="noConversion"/>
  </si>
  <si>
    <t>扣款小计</t>
    <phoneticPr fontId="5" type="noConversion"/>
  </si>
  <si>
    <t>领导：</t>
    <phoneticPr fontId="5" type="noConversion"/>
  </si>
  <si>
    <t>部门负责人：</t>
    <phoneticPr fontId="5" type="noConversion"/>
  </si>
  <si>
    <t>制表人：</t>
    <phoneticPr fontId="5" type="noConversion"/>
  </si>
  <si>
    <t>级别工资</t>
    <phoneticPr fontId="5" type="noConversion"/>
  </si>
  <si>
    <t>地区工资补贴</t>
    <phoneticPr fontId="5" type="noConversion"/>
  </si>
  <si>
    <t>公积金</t>
    <phoneticPr fontId="5" type="noConversion"/>
  </si>
  <si>
    <t>扣公积金</t>
    <phoneticPr fontId="5" type="noConversion"/>
  </si>
  <si>
    <t>扣工会费</t>
    <phoneticPr fontId="5" type="noConversion"/>
  </si>
  <si>
    <t>扣房租</t>
    <phoneticPr fontId="5" type="noConversion"/>
  </si>
  <si>
    <t>职务工资</t>
    <phoneticPr fontId="5" type="noConversion"/>
  </si>
  <si>
    <r>
      <rPr>
        <sz val="9"/>
        <rFont val="宋体"/>
        <family val="3"/>
        <charset val="134"/>
      </rPr>
      <t>合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计</t>
    </r>
    <phoneticPr fontId="5" type="noConversion"/>
  </si>
  <si>
    <t>应 发 工 资</t>
    <phoneticPr fontId="5" type="noConversion"/>
  </si>
  <si>
    <t>签名</t>
    <phoneticPr fontId="5" type="noConversion"/>
  </si>
  <si>
    <t>办案补贴</t>
  </si>
  <si>
    <t>临时性补贴</t>
  </si>
  <si>
    <t>制表时间：2015年8月20日</t>
    <phoneticPr fontId="5" type="noConversion"/>
  </si>
  <si>
    <t>2015年8月份工资表</t>
    <phoneticPr fontId="5" type="noConversion"/>
  </si>
  <si>
    <t>养老金预扣</t>
  </si>
  <si>
    <t>职业年金预扣</t>
  </si>
  <si>
    <t>张总裁</t>
    <phoneticPr fontId="1" type="noConversion"/>
  </si>
  <si>
    <t>总裁办</t>
    <phoneticPr fontId="1" type="noConversion"/>
  </si>
  <si>
    <t>人事科</t>
    <phoneticPr fontId="1" type="noConversion"/>
  </si>
  <si>
    <t>财务科</t>
    <phoneticPr fontId="1" type="noConversion"/>
  </si>
  <si>
    <t>财务科</t>
    <phoneticPr fontId="1" type="noConversion"/>
  </si>
  <si>
    <t>洪人事</t>
    <phoneticPr fontId="1" type="noConversion"/>
  </si>
  <si>
    <t>王人民</t>
    <phoneticPr fontId="1" type="noConversion"/>
  </si>
  <si>
    <t>然并卵</t>
    <phoneticPr fontId="1" type="noConversion"/>
  </si>
  <si>
    <t>赵  云</t>
    <phoneticPr fontId="1" type="noConversion"/>
  </si>
  <si>
    <t>财务科</t>
    <phoneticPr fontId="1" type="noConversion"/>
  </si>
  <si>
    <t>邓大屏</t>
    <phoneticPr fontId="1" type="noConversion"/>
  </si>
  <si>
    <t>邓中第</t>
    <phoneticPr fontId="1" type="noConversion"/>
  </si>
  <si>
    <t>罗盛教</t>
    <phoneticPr fontId="1" type="noConversion"/>
  </si>
  <si>
    <t>曹德旺</t>
    <phoneticPr fontId="1" type="noConversion"/>
  </si>
  <si>
    <t>赵四喜</t>
    <phoneticPr fontId="1" type="noConversion"/>
  </si>
  <si>
    <t>心怀希望Python开发总公司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</si>
</sst>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0.00_ ;[Red]\-0.00\ 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22"/>
      <name val="华文仿宋"/>
      <family val="3"/>
      <charset val="134"/>
    </font>
    <font>
      <sz val="9"/>
      <name val="宋体"/>
      <family val="3"/>
      <charset val="134"/>
    </font>
    <font>
      <sz val="20"/>
      <color indexed="12"/>
      <name val="宋体"/>
      <family val="3"/>
      <charset val="134"/>
    </font>
    <font>
      <sz val="9"/>
      <name val="Arial"/>
      <family val="2"/>
    </font>
    <font>
      <sz val="11"/>
      <name val="宋体"/>
      <family val="3"/>
      <charset val="134"/>
    </font>
    <font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5F4BC"/>
        <bgColor indexed="64"/>
      </patternFill>
    </fill>
    <fill>
      <patternFill patternType="solid">
        <fgColor rgb="FF9999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/>
  </cellStyleXfs>
  <cellXfs count="37">
    <xf numFmtId="0" fontId="0" fillId="0" borderId="0" xfId="0">
      <alignment vertical="center"/>
    </xf>
    <xf numFmtId="0" fontId="4" fillId="0" borderId="0" xfId="2" applyFont="1" applyFill="1" applyAlignment="1" applyProtection="1">
      <alignment horizontal="centerContinuous" vertical="center"/>
    </xf>
    <xf numFmtId="0" fontId="3" fillId="0" borderId="0" xfId="2" applyFill="1" applyAlignment="1" applyProtection="1"/>
    <xf numFmtId="0" fontId="3" fillId="0" borderId="0" xfId="2" applyFill="1" applyProtection="1"/>
    <xf numFmtId="0" fontId="3" fillId="0" borderId="0" xfId="2" applyFont="1" applyFill="1" applyAlignment="1" applyProtection="1">
      <alignment horizontal="center" vertical="center"/>
    </xf>
    <xf numFmtId="0" fontId="5" fillId="0" borderId="3" xfId="2" applyFont="1" applyFill="1" applyBorder="1" applyAlignment="1" applyProtection="1">
      <alignment horizontal="center" vertical="center" shrinkToFit="1"/>
    </xf>
    <xf numFmtId="176" fontId="7" fillId="0" borderId="3" xfId="2" applyNumberFormat="1" applyFont="1" applyFill="1" applyBorder="1" applyAlignment="1" applyProtection="1">
      <alignment horizontal="center" vertical="center" shrinkToFit="1"/>
    </xf>
    <xf numFmtId="176" fontId="7" fillId="2" borderId="3" xfId="2" applyNumberFormat="1" applyFont="1" applyFill="1" applyBorder="1" applyAlignment="1" applyProtection="1">
      <alignment horizontal="center" vertical="center" shrinkToFit="1"/>
    </xf>
    <xf numFmtId="0" fontId="8" fillId="0" borderId="0" xfId="2" applyFont="1" applyFill="1" applyBorder="1" applyProtection="1"/>
    <xf numFmtId="0" fontId="3" fillId="0" borderId="0" xfId="2" applyFill="1" applyBorder="1" applyProtection="1"/>
    <xf numFmtId="49" fontId="5" fillId="0" borderId="3" xfId="2" applyNumberFormat="1" applyFont="1" applyFill="1" applyBorder="1" applyAlignment="1" applyProtection="1">
      <alignment horizontal="center" shrinkToFit="1"/>
    </xf>
    <xf numFmtId="0" fontId="3" fillId="0" borderId="3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0" xfId="0" applyProtection="1">
      <alignment vertical="center"/>
    </xf>
    <xf numFmtId="176" fontId="7" fillId="4" borderId="3" xfId="2" applyNumberFormat="1" applyFont="1" applyFill="1" applyBorder="1" applyAlignment="1" applyProtection="1">
      <alignment horizontal="center" vertical="center" shrinkToFit="1"/>
    </xf>
    <xf numFmtId="0" fontId="5" fillId="0" borderId="1" xfId="2" applyFont="1" applyFill="1" applyBorder="1" applyAlignment="1" applyProtection="1">
      <alignment vertical="center"/>
    </xf>
    <xf numFmtId="0" fontId="6" fillId="0" borderId="0" xfId="2" applyFont="1" applyFill="1" applyAlignment="1" applyProtection="1">
      <alignment horizontal="centerContinuous" vertical="center"/>
    </xf>
    <xf numFmtId="176" fontId="7" fillId="0" borderId="3" xfId="1" applyNumberFormat="1" applyFont="1" applyFill="1" applyBorder="1" applyAlignment="1" applyProtection="1">
      <alignment horizontal="center" vertical="center" shrinkToFit="1"/>
    </xf>
    <xf numFmtId="0" fontId="8" fillId="0" borderId="8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horizontal="left" vertical="center"/>
    </xf>
    <xf numFmtId="0" fontId="8" fillId="0" borderId="0" xfId="2" applyFont="1" applyFill="1" applyBorder="1" applyAlignment="1" applyProtection="1">
      <alignment vertical="top" wrapText="1"/>
    </xf>
    <xf numFmtId="0" fontId="5" fillId="3" borderId="3" xfId="2" applyFont="1" applyFill="1" applyBorder="1" applyAlignment="1" applyProtection="1">
      <alignment horizontal="center" vertical="center"/>
    </xf>
    <xf numFmtId="0" fontId="5" fillId="3" borderId="2" xfId="2" applyFont="1" applyFill="1" applyBorder="1" applyAlignment="1" applyProtection="1">
      <alignment horizontal="center" vertical="center"/>
    </xf>
    <xf numFmtId="0" fontId="5" fillId="3" borderId="7" xfId="2" applyFont="1" applyFill="1" applyBorder="1" applyAlignment="1" applyProtection="1">
      <alignment horizontal="center" vertical="center"/>
    </xf>
    <xf numFmtId="0" fontId="5" fillId="3" borderId="4" xfId="2" applyFont="1" applyFill="1" applyBorder="1" applyAlignment="1" applyProtection="1">
      <alignment horizontal="center" vertical="center"/>
    </xf>
    <xf numFmtId="176" fontId="7" fillId="0" borderId="0" xfId="2" applyNumberFormat="1" applyFont="1" applyFill="1" applyBorder="1" applyAlignment="1" applyProtection="1">
      <alignment horizontal="center" vertical="center" shrinkToFit="1"/>
    </xf>
    <xf numFmtId="176" fontId="7" fillId="2" borderId="4" xfId="2" applyNumberFormat="1" applyFont="1" applyFill="1" applyBorder="1" applyAlignment="1" applyProtection="1">
      <alignment horizontal="center" vertical="center" shrinkToFit="1"/>
    </xf>
    <xf numFmtId="176" fontId="7" fillId="2" borderId="5" xfId="2" applyNumberFormat="1" applyFont="1" applyFill="1" applyBorder="1" applyAlignment="1" applyProtection="1">
      <alignment horizontal="center" vertical="center" shrinkToFit="1"/>
    </xf>
    <xf numFmtId="0" fontId="5" fillId="0" borderId="1" xfId="2" applyFont="1" applyFill="1" applyBorder="1" applyAlignment="1" applyProtection="1">
      <alignment horizontal="center" vertical="center"/>
    </xf>
    <xf numFmtId="0" fontId="5" fillId="3" borderId="2" xfId="2" applyFont="1" applyFill="1" applyBorder="1" applyAlignment="1" applyProtection="1">
      <alignment horizontal="center" vertical="center" wrapText="1"/>
    </xf>
    <xf numFmtId="0" fontId="5" fillId="3" borderId="7" xfId="2" applyFont="1" applyFill="1" applyBorder="1" applyAlignment="1" applyProtection="1">
      <alignment horizontal="center" vertical="center" wrapText="1"/>
    </xf>
    <xf numFmtId="0" fontId="5" fillId="3" borderId="3" xfId="2" applyFont="1" applyFill="1" applyBorder="1" applyAlignment="1" applyProtection="1">
      <alignment horizontal="center" vertical="center"/>
    </xf>
    <xf numFmtId="0" fontId="5" fillId="3" borderId="2" xfId="2" applyFont="1" applyFill="1" applyBorder="1" applyAlignment="1" applyProtection="1">
      <alignment horizontal="center" vertical="center"/>
    </xf>
    <xf numFmtId="0" fontId="5" fillId="3" borderId="7" xfId="2" applyFont="1" applyFill="1" applyBorder="1" applyAlignment="1" applyProtection="1">
      <alignment horizontal="center" vertical="center"/>
    </xf>
    <xf numFmtId="0" fontId="5" fillId="3" borderId="4" xfId="2" applyFont="1" applyFill="1" applyBorder="1" applyAlignment="1" applyProtection="1">
      <alignment horizontal="center" vertical="center"/>
    </xf>
    <xf numFmtId="0" fontId="5" fillId="3" borderId="5" xfId="2" applyFont="1" applyFill="1" applyBorder="1" applyAlignment="1" applyProtection="1">
      <alignment horizontal="center" vertical="center"/>
    </xf>
    <xf numFmtId="0" fontId="5" fillId="3" borderId="6" xfId="2" applyFont="1" applyFill="1" applyBorder="1" applyAlignment="1" applyProtection="1">
      <alignment horizontal="center" vertical="center"/>
    </xf>
  </cellXfs>
  <cellStyles count="3">
    <cellStyle name="常规" xfId="0" builtinId="0"/>
    <cellStyle name="常规_2008工资管理系统（2007）" xfId="2"/>
    <cellStyle name="千位分隔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EFA9FD"/>
      <color rgb="FFF5F4B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381000</xdr:colOff>
      <xdr:row>30</xdr:row>
      <xdr:rowOff>0</xdr:rowOff>
    </xdr:to>
    <xdr:pic>
      <xdr:nvPicPr>
        <xdr:cNvPr id="3" name="Shapes(1)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8915400" cy="5551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18"/>
  <sheetViews>
    <sheetView showGridLines="0" showZeros="0" tabSelected="1" workbookViewId="0">
      <pane xSplit="2" topLeftCell="C1" activePane="topRight" state="frozenSplit"/>
      <selection pane="topRight" activeCell="L10" sqref="L10"/>
    </sheetView>
  </sheetViews>
  <sheetFormatPr defaultColWidth="9" defaultRowHeight="14.4"/>
  <cols>
    <col min="1" max="1" width="5.44140625" style="13" customWidth="1"/>
    <col min="2" max="2" width="9.88671875" style="13" customWidth="1"/>
    <col min="3" max="3" width="9" style="13" customWidth="1"/>
    <col min="4" max="5" width="9" style="13"/>
    <col min="6" max="8" width="10.44140625" style="13" customWidth="1"/>
    <col min="9" max="17" width="9" style="13"/>
    <col min="18" max="18" width="9.77734375" style="13" customWidth="1"/>
    <col min="19" max="16384" width="9" style="13"/>
  </cols>
  <sheetData>
    <row r="1" spans="1:19" s="2" customFormat="1" ht="32.4">
      <c r="A1" s="1" t="s">
        <v>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9" s="3" customFormat="1" ht="25.8">
      <c r="A2" s="16" t="s">
        <v>24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9" s="3" customFormat="1" ht="15.6">
      <c r="A3" s="15" t="s">
        <v>23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4"/>
      <c r="M3" s="4"/>
      <c r="N3" s="4"/>
      <c r="O3" s="28" t="s">
        <v>0</v>
      </c>
      <c r="P3" s="28"/>
      <c r="Q3" s="28"/>
      <c r="R3" s="28"/>
    </row>
    <row r="4" spans="1:19" s="3" customFormat="1" ht="15.6">
      <c r="A4" s="29" t="s">
        <v>1</v>
      </c>
      <c r="B4" s="31" t="s">
        <v>2</v>
      </c>
      <c r="C4" s="32" t="s">
        <v>3</v>
      </c>
      <c r="D4" s="34" t="s">
        <v>19</v>
      </c>
      <c r="E4" s="35"/>
      <c r="F4" s="35"/>
      <c r="G4" s="35"/>
      <c r="H4" s="35"/>
      <c r="I4" s="35"/>
      <c r="J4" s="36"/>
      <c r="K4" s="34" t="s">
        <v>4</v>
      </c>
      <c r="L4" s="35"/>
      <c r="M4" s="35"/>
      <c r="N4" s="35"/>
      <c r="O4" s="35"/>
      <c r="P4" s="36"/>
      <c r="Q4" s="32" t="s">
        <v>5</v>
      </c>
      <c r="R4" s="22" t="s">
        <v>20</v>
      </c>
    </row>
    <row r="5" spans="1:19" s="3" customFormat="1" ht="15.6">
      <c r="A5" s="30"/>
      <c r="B5" s="31"/>
      <c r="C5" s="33"/>
      <c r="D5" s="21" t="s">
        <v>17</v>
      </c>
      <c r="E5" s="21" t="s">
        <v>11</v>
      </c>
      <c r="F5" s="21" t="s">
        <v>12</v>
      </c>
      <c r="G5" s="21" t="s">
        <v>21</v>
      </c>
      <c r="H5" s="21" t="s">
        <v>13</v>
      </c>
      <c r="I5" s="21" t="s">
        <v>22</v>
      </c>
      <c r="J5" s="21" t="s">
        <v>6</v>
      </c>
      <c r="K5" s="21" t="s">
        <v>14</v>
      </c>
      <c r="L5" s="21" t="s">
        <v>15</v>
      </c>
      <c r="M5" s="21" t="s">
        <v>26</v>
      </c>
      <c r="N5" s="21" t="s">
        <v>25</v>
      </c>
      <c r="O5" s="21" t="s">
        <v>16</v>
      </c>
      <c r="P5" s="24" t="s">
        <v>7</v>
      </c>
      <c r="Q5" s="33"/>
      <c r="R5" s="23"/>
    </row>
    <row r="6" spans="1:19" s="3" customFormat="1" ht="15.6">
      <c r="A6" s="5">
        <v>1</v>
      </c>
      <c r="B6" s="11" t="s">
        <v>27</v>
      </c>
      <c r="C6" s="10" t="s">
        <v>28</v>
      </c>
      <c r="D6" s="17">
        <v>17000</v>
      </c>
      <c r="E6" s="17">
        <v>24075</v>
      </c>
      <c r="F6" s="17">
        <v>2.5</v>
      </c>
      <c r="G6" s="17"/>
      <c r="H6" s="17">
        <v>236</v>
      </c>
      <c r="I6" s="17"/>
      <c r="J6" s="6">
        <f t="shared" ref="J6:J14" si="0">SUM(D6:I6)</f>
        <v>41313.5</v>
      </c>
      <c r="K6" s="17">
        <v>236</v>
      </c>
      <c r="L6" s="6">
        <v>11</v>
      </c>
      <c r="M6" s="6">
        <v>11089.01</v>
      </c>
      <c r="N6" s="6"/>
      <c r="O6" s="6"/>
      <c r="P6" s="6">
        <f>SUM(K6:O6)</f>
        <v>11336.01</v>
      </c>
      <c r="Q6" s="6">
        <f t="shared" ref="Q6:Q15" si="1">J6-P6</f>
        <v>29977.489999999998</v>
      </c>
      <c r="R6" s="6"/>
      <c r="S6" s="25"/>
    </row>
    <row r="7" spans="1:19" s="3" customFormat="1" ht="15.6">
      <c r="A7" s="5">
        <v>2</v>
      </c>
      <c r="B7" s="11" t="s">
        <v>32</v>
      </c>
      <c r="C7" s="10" t="s">
        <v>29</v>
      </c>
      <c r="D7" s="17">
        <v>10800</v>
      </c>
      <c r="E7" s="17">
        <v>26102</v>
      </c>
      <c r="F7" s="17">
        <v>2.5</v>
      </c>
      <c r="G7" s="17"/>
      <c r="H7" s="17">
        <v>159</v>
      </c>
      <c r="I7" s="17"/>
      <c r="J7" s="6">
        <f t="shared" si="0"/>
        <v>37063.5</v>
      </c>
      <c r="K7" s="17">
        <v>159</v>
      </c>
      <c r="L7" s="6">
        <v>9</v>
      </c>
      <c r="M7" s="6"/>
      <c r="N7" s="6"/>
      <c r="O7" s="6"/>
      <c r="P7" s="6">
        <f t="shared" ref="P7:P15" si="2">SUM(K7:O7)</f>
        <v>168</v>
      </c>
      <c r="Q7" s="6">
        <f t="shared" si="1"/>
        <v>36895.5</v>
      </c>
      <c r="R7" s="6"/>
      <c r="S7" s="25"/>
    </row>
    <row r="8" spans="1:19" s="3" customFormat="1" ht="15.6">
      <c r="A8" s="5">
        <v>3</v>
      </c>
      <c r="B8" s="11" t="s">
        <v>33</v>
      </c>
      <c r="C8" s="10" t="s">
        <v>29</v>
      </c>
      <c r="D8" s="17">
        <v>11080</v>
      </c>
      <c r="E8" s="17">
        <v>20533</v>
      </c>
      <c r="F8" s="17">
        <v>2.5</v>
      </c>
      <c r="G8" s="17">
        <v>60</v>
      </c>
      <c r="H8" s="17">
        <v>537</v>
      </c>
      <c r="I8" s="17"/>
      <c r="J8" s="6">
        <f t="shared" si="0"/>
        <v>32212.5</v>
      </c>
      <c r="K8" s="17">
        <v>537</v>
      </c>
      <c r="L8" s="6">
        <v>7</v>
      </c>
      <c r="M8" s="6"/>
      <c r="N8" s="6"/>
      <c r="O8" s="6"/>
      <c r="P8" s="6">
        <f t="shared" si="2"/>
        <v>544</v>
      </c>
      <c r="Q8" s="6">
        <f t="shared" si="1"/>
        <v>31668.5</v>
      </c>
      <c r="R8" s="6"/>
      <c r="S8" s="25"/>
    </row>
    <row r="9" spans="1:19" s="3" customFormat="1" ht="15.6">
      <c r="A9" s="5">
        <v>4</v>
      </c>
      <c r="B9" s="11" t="s">
        <v>34</v>
      </c>
      <c r="C9" s="10" t="s">
        <v>30</v>
      </c>
      <c r="D9" s="17">
        <v>10080</v>
      </c>
      <c r="E9" s="17">
        <v>23512</v>
      </c>
      <c r="F9" s="17">
        <v>2.5</v>
      </c>
      <c r="G9" s="17"/>
      <c r="H9" s="17">
        <v>527</v>
      </c>
      <c r="I9" s="17"/>
      <c r="J9" s="6">
        <f t="shared" si="0"/>
        <v>34121.5</v>
      </c>
      <c r="K9" s="17">
        <v>527</v>
      </c>
      <c r="L9" s="6">
        <v>8</v>
      </c>
      <c r="M9" s="6"/>
      <c r="N9" s="6"/>
      <c r="O9" s="6"/>
      <c r="P9" s="6">
        <f t="shared" si="2"/>
        <v>535</v>
      </c>
      <c r="Q9" s="6">
        <f t="shared" si="1"/>
        <v>33586.5</v>
      </c>
      <c r="R9" s="6"/>
      <c r="S9" s="25"/>
    </row>
    <row r="10" spans="1:19" s="3" customFormat="1" ht="15.6">
      <c r="A10" s="5">
        <v>5</v>
      </c>
      <c r="B10" s="11" t="s">
        <v>35</v>
      </c>
      <c r="C10" s="10" t="s">
        <v>36</v>
      </c>
      <c r="D10" s="17">
        <v>12270</v>
      </c>
      <c r="E10" s="17">
        <v>29970</v>
      </c>
      <c r="F10" s="17">
        <v>3</v>
      </c>
      <c r="G10" s="17"/>
      <c r="H10" s="17">
        <v>196</v>
      </c>
      <c r="I10" s="17"/>
      <c r="J10" s="6">
        <f t="shared" si="0"/>
        <v>42439</v>
      </c>
      <c r="K10" s="17">
        <v>196</v>
      </c>
      <c r="L10" s="6">
        <v>10</v>
      </c>
      <c r="M10" s="6"/>
      <c r="N10" s="6"/>
      <c r="O10" s="6"/>
      <c r="P10" s="6">
        <f t="shared" si="2"/>
        <v>206</v>
      </c>
      <c r="Q10" s="6">
        <f>J10-P10</f>
        <v>42233</v>
      </c>
      <c r="R10" s="6"/>
      <c r="S10" s="25"/>
    </row>
    <row r="11" spans="1:19" s="3" customFormat="1" ht="15.6">
      <c r="A11" s="5">
        <v>6</v>
      </c>
      <c r="B11" s="11" t="s">
        <v>37</v>
      </c>
      <c r="C11" s="10" t="s">
        <v>36</v>
      </c>
      <c r="D11" s="17">
        <v>10840</v>
      </c>
      <c r="E11" s="17">
        <v>21352</v>
      </c>
      <c r="F11" s="17">
        <v>2.5</v>
      </c>
      <c r="G11" s="17"/>
      <c r="H11" s="17">
        <v>133</v>
      </c>
      <c r="I11" s="17"/>
      <c r="J11" s="6">
        <f t="shared" si="0"/>
        <v>32327.5</v>
      </c>
      <c r="K11" s="17">
        <v>133</v>
      </c>
      <c r="L11" s="6">
        <v>8</v>
      </c>
      <c r="M11" s="6"/>
      <c r="N11" s="6"/>
      <c r="O11" s="6"/>
      <c r="P11" s="6">
        <f t="shared" si="2"/>
        <v>141</v>
      </c>
      <c r="Q11" s="6">
        <f t="shared" si="1"/>
        <v>32186.5</v>
      </c>
      <c r="R11" s="6"/>
      <c r="S11" s="25"/>
    </row>
    <row r="12" spans="1:19" s="3" customFormat="1" ht="15.6">
      <c r="A12" s="5">
        <v>7</v>
      </c>
      <c r="B12" s="11" t="s">
        <v>38</v>
      </c>
      <c r="C12" s="10" t="s">
        <v>31</v>
      </c>
      <c r="D12" s="17">
        <v>7200</v>
      </c>
      <c r="E12" s="17">
        <v>11426</v>
      </c>
      <c r="F12" s="17">
        <v>2</v>
      </c>
      <c r="G12" s="17"/>
      <c r="H12" s="17">
        <v>111</v>
      </c>
      <c r="I12" s="17"/>
      <c r="J12" s="6">
        <f t="shared" si="0"/>
        <v>18739</v>
      </c>
      <c r="K12" s="17">
        <v>111</v>
      </c>
      <c r="L12" s="6">
        <v>5</v>
      </c>
      <c r="M12" s="6"/>
      <c r="N12" s="6"/>
      <c r="O12" s="6"/>
      <c r="P12" s="6">
        <f t="shared" si="2"/>
        <v>116</v>
      </c>
      <c r="Q12" s="6">
        <f t="shared" si="1"/>
        <v>18623</v>
      </c>
      <c r="R12" s="6"/>
      <c r="S12" s="25"/>
    </row>
    <row r="13" spans="1:19" s="3" customFormat="1" ht="15.6">
      <c r="A13" s="5">
        <v>8</v>
      </c>
      <c r="B13" s="11" t="s">
        <v>39</v>
      </c>
      <c r="C13" s="10" t="s">
        <v>31</v>
      </c>
      <c r="D13" s="17">
        <v>6900</v>
      </c>
      <c r="E13" s="17">
        <v>13142</v>
      </c>
      <c r="F13" s="17">
        <v>2.5</v>
      </c>
      <c r="G13" s="17"/>
      <c r="H13" s="17">
        <v>104</v>
      </c>
      <c r="I13" s="17"/>
      <c r="J13" s="6">
        <f t="shared" si="0"/>
        <v>20148.5</v>
      </c>
      <c r="K13" s="17">
        <v>104</v>
      </c>
      <c r="L13" s="6">
        <v>4</v>
      </c>
      <c r="M13" s="6"/>
      <c r="N13" s="6"/>
      <c r="O13" s="6"/>
      <c r="P13" s="6">
        <f t="shared" si="2"/>
        <v>108</v>
      </c>
      <c r="Q13" s="6">
        <f>J13-P13</f>
        <v>20040.5</v>
      </c>
      <c r="R13" s="6"/>
      <c r="S13" s="25"/>
    </row>
    <row r="14" spans="1:19" s="3" customFormat="1" ht="15.6">
      <c r="A14" s="5">
        <v>9</v>
      </c>
      <c r="B14" s="11" t="s">
        <v>40</v>
      </c>
      <c r="C14" s="10" t="s">
        <v>31</v>
      </c>
      <c r="D14" s="17">
        <v>8160</v>
      </c>
      <c r="E14" s="17">
        <v>17825</v>
      </c>
      <c r="F14" s="17">
        <v>2</v>
      </c>
      <c r="G14" s="17">
        <v>60</v>
      </c>
      <c r="H14" s="17">
        <v>133</v>
      </c>
      <c r="I14" s="17"/>
      <c r="J14" s="6">
        <f t="shared" si="0"/>
        <v>26180</v>
      </c>
      <c r="K14" s="17">
        <v>133</v>
      </c>
      <c r="L14" s="6">
        <v>6</v>
      </c>
      <c r="M14" s="6"/>
      <c r="N14" s="6"/>
      <c r="O14" s="6"/>
      <c r="P14" s="6">
        <f t="shared" si="2"/>
        <v>139</v>
      </c>
      <c r="Q14" s="6">
        <f>J14-P14</f>
        <v>26041</v>
      </c>
      <c r="R14" s="6"/>
      <c r="S14" s="25"/>
    </row>
    <row r="15" spans="1:19" s="3" customFormat="1" ht="15.6">
      <c r="A15" s="5">
        <v>32</v>
      </c>
      <c r="B15" s="12" t="s">
        <v>41</v>
      </c>
      <c r="C15" s="10" t="s">
        <v>31</v>
      </c>
      <c r="D15" s="17">
        <v>8680</v>
      </c>
      <c r="E15" s="17">
        <v>21658</v>
      </c>
      <c r="F15" s="17">
        <v>2.5</v>
      </c>
      <c r="G15" s="17"/>
      <c r="H15" s="17">
        <v>132</v>
      </c>
      <c r="I15" s="17"/>
      <c r="J15" s="6">
        <f t="shared" ref="J15" si="3">SUM(D15:I15)</f>
        <v>30472.5</v>
      </c>
      <c r="K15" s="17">
        <v>132</v>
      </c>
      <c r="L15" s="6">
        <v>7</v>
      </c>
      <c r="M15" s="6"/>
      <c r="N15" s="6"/>
      <c r="O15" s="6"/>
      <c r="P15" s="6">
        <f t="shared" si="2"/>
        <v>139</v>
      </c>
      <c r="Q15" s="6">
        <f t="shared" si="1"/>
        <v>30333.5</v>
      </c>
      <c r="R15" s="6"/>
      <c r="S15" s="25"/>
    </row>
    <row r="16" spans="1:19" s="3" customFormat="1" ht="15.6">
      <c r="A16" s="26" t="s">
        <v>18</v>
      </c>
      <c r="B16" s="27"/>
      <c r="C16" s="7"/>
      <c r="D16" s="7">
        <f t="shared" ref="D16:Q16" si="4">SUM(D6:D15)</f>
        <v>103010</v>
      </c>
      <c r="E16" s="7">
        <f t="shared" si="4"/>
        <v>209595</v>
      </c>
      <c r="F16" s="7">
        <f t="shared" si="4"/>
        <v>24.5</v>
      </c>
      <c r="G16" s="7">
        <f t="shared" si="4"/>
        <v>120</v>
      </c>
      <c r="H16" s="7">
        <f t="shared" si="4"/>
        <v>2268</v>
      </c>
      <c r="I16" s="7">
        <f t="shared" si="4"/>
        <v>0</v>
      </c>
      <c r="J16" s="7">
        <f t="shared" si="4"/>
        <v>315017.5</v>
      </c>
      <c r="K16" s="7">
        <f t="shared" si="4"/>
        <v>2268</v>
      </c>
      <c r="L16" s="7">
        <f t="shared" si="4"/>
        <v>75</v>
      </c>
      <c r="M16" s="7">
        <f t="shared" si="4"/>
        <v>11089.01</v>
      </c>
      <c r="N16" s="7">
        <f t="shared" si="4"/>
        <v>0</v>
      </c>
      <c r="O16" s="7">
        <f t="shared" si="4"/>
        <v>0</v>
      </c>
      <c r="P16" s="7">
        <f t="shared" si="4"/>
        <v>13432.01</v>
      </c>
      <c r="Q16" s="7">
        <f t="shared" si="4"/>
        <v>301585.49</v>
      </c>
      <c r="R16" s="14"/>
    </row>
    <row r="17" spans="1:18" s="8" customFormat="1" ht="40.5" customHeight="1">
      <c r="A17" s="18" t="s">
        <v>8</v>
      </c>
      <c r="B17" s="18"/>
      <c r="C17" s="18"/>
      <c r="D17" s="18"/>
      <c r="E17" s="18"/>
      <c r="F17" s="18" t="s">
        <v>9</v>
      </c>
      <c r="G17" s="18"/>
      <c r="H17" s="18"/>
      <c r="I17" s="18"/>
      <c r="J17" s="18"/>
      <c r="K17" s="18"/>
      <c r="L17" s="19" t="s">
        <v>10</v>
      </c>
      <c r="M17" s="19"/>
      <c r="N17" s="19"/>
      <c r="O17" s="19"/>
      <c r="P17" s="19"/>
      <c r="Q17" s="19"/>
    </row>
    <row r="18" spans="1:18" s="9" customFormat="1" ht="40.5" customHeight="1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</row>
  </sheetData>
  <sheetProtection password="D893" sheet="1" objects="1" scenarios="1" formatCells="0" formatColumns="0" formatRows="0"/>
  <mergeCells count="8">
    <mergeCell ref="A16:B16"/>
    <mergeCell ref="O3:R3"/>
    <mergeCell ref="A4:A5"/>
    <mergeCell ref="B4:B5"/>
    <mergeCell ref="C4:C5"/>
    <mergeCell ref="D4:J4"/>
    <mergeCell ref="K4:P4"/>
    <mergeCell ref="Q4:Q5"/>
  </mergeCells>
  <phoneticPr fontId="1" type="noConversion"/>
  <conditionalFormatting sqref="B6:B7">
    <cfRule type="top10" dxfId="0" priority="1" stopIfTrue="1" rank="10"/>
  </conditionalFormatting>
  <pageMargins left="0.59055118110236227" right="0.59055118110236227" top="0.74803149606299213" bottom="0.74803149606299213" header="0.31496062992125984" footer="0.31496062992125984"/>
  <pageSetup paperSize="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"/>
  <sheetViews>
    <sheetView zoomScale="70" zoomScaleNormal="70" workbookViewId="0">
      <selection activeCell="K36" sqref="K36"/>
    </sheetView>
  </sheetViews>
  <sheetFormatPr defaultRowHeight="14.4"/>
  <sheetData/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>
  <ribbon>
    <tabs>
      <tab id="t1" insertBeforeMso="TabHome" label="���ʹ���ϵͳ">
        <group id="group1" label="���ݴ���">
          <button id="but1_1" label="���ɹ�����" imageMso="CreateFormWithMultipleItems" size="large" screentip="���ɹ�����" onAction="���ɹ�����"/>
          <button id="but1_2" label="���Ź��ʱ�" imageMso="PivotTableSubtotalsOnTop" size="large" screentip="���ɲ��Ź��ʱ�" onAction="���ɲ��Ź��ʱ�"/>
          <button id="but1_3" label="������ǰ���ʱ�" imageMso="Copy" size="large" screentip="������ǰ���ʱ�" onAction="������ǰ���ʱ�"/>
          <button id="but1_4" label="����ȫ�����ʱ�" imageMso="ExportExcel" size="large" screentip="����ȫ�����ʱ�" onAction="����ȫ�����ʱ�"/>
        </group>
        <group id="group2" label="����������">
          <button id="but2_1" label="����������" imageMso="SheetProtect" size="large" screentip="������ǰ���ʱ�" onAction="������ǰ���ʱ�"/>
          <button id="but2_2" label="ȡ������������" imageMso="SheetProtect" size="large" screentip="ȡ���Ե�ǰ�������ı���" onAction="ȡ��������ǰ���ʱ�"/>
          <button id="but2_3" label="���Ӹ��ӱ�" imageMso="AttachItem" size="large" screentip="���Ӹ��ӹ�����" onAction="���Ӹ��ӱ�"/>
          <button id="but2_4" label="ɾ�����ӱ�" imageMso="AttachItem" size="large" screentip="ɾ����ǰ���ӱ�" onAction="ɾ�����ӱ�"/>
          <button id="but2_5" label="���ӵ��¹��ʱ�" imageMso="Copy" size="large" screentip="���ӵ��¹��ʱ������ڹ��ʶ�η��ŵ������" onAction="���ӵ��¹��ʱ�"/>
          <button id="but2_6" label="ɾ����ǰ���ʱ�" imageMso="Delete" size="large" screentip="ɾ����ǰ���ʱ�" onAction="ɾ����ǰ���ʱ�"/>
          <button id="but2_7" label="�������¹��ʱ�" imageMso="CopyToFolder" size="large" screentip="�������¹��ʱ������������1�·ݣ�����������һ����������" onAction="�������¹��ʱ�"/>
        </group>
        <group id="group3" label="��ʾ/����">
          <button id="but3_1" label="��ʾ����" imageMso="TableColumnSelect" size="large" screentip="��ʾ����" onAction="��ʾ����"/>
          <button id="but3_2" label="���ز���" imageMso="RecordsFreezeColumns" size="large" screentip="���ز���" onAction="���ز���"/>
          <button id="but3_3" label="���������" imageMso="TableStyleRowHeaders" size="large" screentip="���������" onAction="���������"/>
          <button id="but3_4" label="ȡ�����������" imageMso="ViewFreezePanesGallery" size="large" screentip="ȡ�����������" onAction="ȡ�����������"/>
        </group>
        <group id="group4" label="��������">
          <button id="but4_1" label="��λ����" imageMso="TrustCenter" size="large" screentip="�޸ĵ�λ����" onAction="dwmc"/>
          <button id="but4_2" label="���Ź���" imageMso="OrganizationChartInsert" size="large" screentip="���Ź���" onAction="���Ź���"/>
          <button id="but4_3" label="ְ������" imageMso="NewContact" size="large" screentip="ְ������" onAction="ְ������"/>
          <button id="but4_4" label="������Ŀ" imageMso="BrightnessMore" size="large" screentip="������Ŀ����" onAction="������Ŀ����"/>
        </group>
        <group id="group5" label="��ѯ/ͳ��">
	    </group>
        <group id="group6" label="����...">
          <button id="but6_1" label="����" imageMso="FunctionsDateTimeInsertGallery" size="large" screentip="���ʹ���ϵͳ˵��" onAction="ϵͳ˵��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8月份</vt:lpstr>
      <vt:lpstr>Config</vt:lpstr>
    </vt:vector>
  </TitlesOfParts>
  <Company>心怀希望Python开发总公司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gsb</dc:creator>
  <cp:lastModifiedBy>AAA</cp:lastModifiedBy>
  <cp:lastPrinted>2015-12-07T07:04:48Z</cp:lastPrinted>
  <dcterms:created xsi:type="dcterms:W3CDTF">2015-03-19T02:35:53Z</dcterms:created>
  <dcterms:modified xsi:type="dcterms:W3CDTF">2018-02-05T12:32:46Z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总裁办">
    <vt:lpwstr/>
  </property>
  <property fmtid="{D5CDD505-2E9C-101B-9397-08002B2CF9AE}" pid="3" name="人事科">
    <vt:lpwstr/>
  </property>
  <property fmtid="{D5CDD505-2E9C-101B-9397-08002B2CF9AE}" pid="4" name="财务科">
    <vt:lpwstr/>
  </property>
</Properties>
</file>